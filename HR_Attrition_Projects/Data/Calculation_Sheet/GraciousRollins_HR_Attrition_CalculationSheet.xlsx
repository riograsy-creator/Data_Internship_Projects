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MK\Downloads\"/>
    </mc:Choice>
  </mc:AlternateContent>
  <xr:revisionPtr revIDLastSave="0" documentId="8_{938B33C4-CAC8-45B2-8834-84614F731909}" xr6:coauthVersionLast="36" xr6:coauthVersionMax="36" xr10:uidLastSave="{00000000-0000-0000-0000-000000000000}"/>
  <bookViews>
    <workbookView xWindow="0" yWindow="0" windowWidth="20490" windowHeight="7245" xr2:uid="{73301312-F355-49E7-9FFD-6DD22F41489D}"/>
  </bookViews>
  <sheets>
    <sheet name="Calculation she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" l="1"/>
  <c r="L10" i="1"/>
  <c r="L9" i="1"/>
  <c r="L8" i="1"/>
  <c r="AQ7" i="1"/>
  <c r="AR7" i="1" s="1"/>
  <c r="AP7" i="1"/>
  <c r="AG7" i="1"/>
  <c r="AH7" i="1" s="1"/>
  <c r="AF7" i="1"/>
  <c r="L7" i="1"/>
  <c r="BG6" i="1"/>
  <c r="BF6" i="1"/>
  <c r="BE6" i="1"/>
  <c r="BA6" i="1"/>
  <c r="BB6" i="1" s="1"/>
  <c r="AZ6" i="1"/>
  <c r="AV6" i="1"/>
  <c r="AU6" i="1"/>
  <c r="AW6" i="1" s="1"/>
  <c r="AQ6" i="1"/>
  <c r="AP6" i="1"/>
  <c r="AR6" i="1" s="1"/>
  <c r="AM6" i="1"/>
  <c r="AL6" i="1"/>
  <c r="AK6" i="1"/>
  <c r="AH6" i="1"/>
  <c r="AG6" i="1"/>
  <c r="AF6" i="1"/>
  <c r="L6" i="1"/>
  <c r="BG5" i="1"/>
  <c r="BF5" i="1"/>
  <c r="BE5" i="1"/>
  <c r="BB5" i="1"/>
  <c r="BA5" i="1"/>
  <c r="AZ5" i="1"/>
  <c r="AV5" i="1"/>
  <c r="AW5" i="1" s="1"/>
  <c r="AU5" i="1"/>
  <c r="AQ5" i="1"/>
  <c r="AP5" i="1"/>
  <c r="AR5" i="1" s="1"/>
  <c r="AM5" i="1"/>
  <c r="AL5" i="1"/>
  <c r="AK5" i="1"/>
  <c r="AH5" i="1"/>
  <c r="AG5" i="1"/>
  <c r="AF5" i="1"/>
  <c r="L5" i="1"/>
  <c r="E5" i="1"/>
  <c r="D5" i="1"/>
  <c r="C5" i="1"/>
  <c r="B5" i="1"/>
  <c r="F5" i="1" s="1"/>
  <c r="BJ4" i="1"/>
  <c r="BF4" i="1"/>
  <c r="BG4" i="1" s="1"/>
  <c r="BE4" i="1"/>
  <c r="BB4" i="1"/>
  <c r="BA4" i="1"/>
  <c r="AZ4" i="1"/>
  <c r="AW4" i="1"/>
  <c r="AV4" i="1"/>
  <c r="AU4" i="1"/>
  <c r="AQ4" i="1"/>
  <c r="AR4" i="1" s="1"/>
  <c r="AP4" i="1"/>
  <c r="AL4" i="1"/>
  <c r="AM4" i="1" s="1"/>
  <c r="AK4" i="1"/>
  <c r="AH4" i="1"/>
  <c r="AG4" i="1"/>
  <c r="AF4" i="1"/>
  <c r="AC4" i="1"/>
  <c r="AB4" i="1"/>
  <c r="AA4" i="1"/>
  <c r="Z4" i="1"/>
  <c r="Y4" i="1"/>
  <c r="V4" i="1"/>
  <c r="S4" i="1"/>
  <c r="P4" i="1"/>
  <c r="O4" i="1"/>
  <c r="L4" i="1"/>
  <c r="E4" i="1"/>
  <c r="D4" i="1"/>
  <c r="C4" i="1"/>
  <c r="B4" i="1"/>
  <c r="F4" i="1" s="1"/>
  <c r="BJ3" i="1"/>
  <c r="BG3" i="1"/>
  <c r="BF3" i="1"/>
  <c r="BE3" i="1"/>
  <c r="BA3" i="1"/>
  <c r="BB3" i="1" s="1"/>
  <c r="AZ3" i="1"/>
  <c r="AV3" i="1"/>
  <c r="AW3" i="1" s="1"/>
  <c r="AU3" i="1"/>
  <c r="AR3" i="1"/>
  <c r="AQ3" i="1"/>
  <c r="AP3" i="1"/>
  <c r="AM3" i="1"/>
  <c r="AL3" i="1"/>
  <c r="AK3" i="1"/>
  <c r="AG3" i="1"/>
  <c r="AH3" i="1" s="1"/>
  <c r="AF3" i="1"/>
  <c r="AC3" i="1"/>
  <c r="AB3" i="1"/>
  <c r="AA3" i="1"/>
  <c r="Z3" i="1"/>
  <c r="Y3" i="1"/>
  <c r="V3" i="1"/>
  <c r="V6" i="1" s="1"/>
  <c r="S3" i="1"/>
  <c r="P3" i="1"/>
  <c r="O3" i="1"/>
  <c r="L3" i="1"/>
  <c r="I3" i="1"/>
  <c r="E3" i="1"/>
  <c r="D3" i="1"/>
  <c r="B7" i="1" s="1"/>
  <c r="C3" i="1"/>
  <c r="B3" i="1"/>
  <c r="F3" i="1" s="1"/>
  <c r="BJ2" i="1"/>
</calcChain>
</file>

<file path=xl/sharedStrings.xml><?xml version="1.0" encoding="utf-8"?>
<sst xmlns="http://schemas.openxmlformats.org/spreadsheetml/2006/main" count="111" uniqueCount="91">
  <si>
    <t>Attrition Rate by Department</t>
  </si>
  <si>
    <t>Xlookup-formula</t>
  </si>
  <si>
    <t>Attrition Rate by Job Role</t>
  </si>
  <si>
    <t>Avg Leaver Vs Stayers</t>
  </si>
  <si>
    <t>Over time Attrition Analysis</t>
  </si>
  <si>
    <t>Gender Pay Comparison</t>
  </si>
  <si>
    <t>Employee Experience Comparison</t>
  </si>
  <si>
    <t>Attrition Rate by Ageband</t>
  </si>
  <si>
    <t>Attrition Rate by income band</t>
  </si>
  <si>
    <t>Attrition Rate by Tenure_band</t>
  </si>
  <si>
    <t>Attrition Rate by Stockoptionlevel</t>
  </si>
  <si>
    <t>Attrition Rate by Worklifebalance</t>
  </si>
  <si>
    <t>AttritionRate by jobsatisfaction</t>
  </si>
  <si>
    <t>High Risk employeecount</t>
  </si>
  <si>
    <t>Attrition Rate</t>
  </si>
  <si>
    <t>Employee count</t>
  </si>
  <si>
    <t>Leavers</t>
  </si>
  <si>
    <t>Stayers</t>
  </si>
  <si>
    <t>Rank</t>
  </si>
  <si>
    <t>Department</t>
  </si>
  <si>
    <t>Job Role</t>
  </si>
  <si>
    <t>Attrition</t>
  </si>
  <si>
    <t>Avg Age</t>
  </si>
  <si>
    <t>Avg Monthlyincome</t>
  </si>
  <si>
    <t xml:space="preserve">Over Time </t>
  </si>
  <si>
    <t>Gender</t>
  </si>
  <si>
    <t>Avg income</t>
  </si>
  <si>
    <t>Avg jobsatisfaction</t>
  </si>
  <si>
    <t>Avg Environmentsatisfaction</t>
  </si>
  <si>
    <t>Avg Jobinvolvement</t>
  </si>
  <si>
    <t>Avg worklifebal</t>
  </si>
  <si>
    <t>Avg compensationRatio</t>
  </si>
  <si>
    <t>Age band</t>
  </si>
  <si>
    <t xml:space="preserve">Leavers </t>
  </si>
  <si>
    <t xml:space="preserve">AttritionRate </t>
  </si>
  <si>
    <t>Income band</t>
  </si>
  <si>
    <t>Employeecount</t>
  </si>
  <si>
    <t>leavers</t>
  </si>
  <si>
    <t>Tenure_band</t>
  </si>
  <si>
    <t>AttritionRate</t>
  </si>
  <si>
    <t>Stockoptionlevel</t>
  </si>
  <si>
    <t>Leaver</t>
  </si>
  <si>
    <t>worklifebalance</t>
  </si>
  <si>
    <t>employeecount</t>
  </si>
  <si>
    <t>jobsatisfaction</t>
  </si>
  <si>
    <t>AttrictionRate</t>
  </si>
  <si>
    <t>High risk</t>
  </si>
  <si>
    <t>Human Resources</t>
  </si>
  <si>
    <t>Sales</t>
  </si>
  <si>
    <t>Sales Executive</t>
  </si>
  <si>
    <t>Yes</t>
  </si>
  <si>
    <t>Male</t>
  </si>
  <si>
    <t>18-25</t>
  </si>
  <si>
    <t>Under 5k</t>
  </si>
  <si>
    <t>0-3 years</t>
  </si>
  <si>
    <t>Non</t>
  </si>
  <si>
    <t>bad</t>
  </si>
  <si>
    <t>Dissatisfied</t>
  </si>
  <si>
    <t>medium risk</t>
  </si>
  <si>
    <t>Research &amp; Development</t>
  </si>
  <si>
    <t>Research Scientist</t>
  </si>
  <si>
    <t>No</t>
  </si>
  <si>
    <t>Female</t>
  </si>
  <si>
    <t>26-35</t>
  </si>
  <si>
    <t>5k-9,999</t>
  </si>
  <si>
    <t>4-6 years</t>
  </si>
  <si>
    <t>Low</t>
  </si>
  <si>
    <t>fair</t>
  </si>
  <si>
    <t>Neutral</t>
  </si>
  <si>
    <t>low risk</t>
  </si>
  <si>
    <t>Laboratory Technician</t>
  </si>
  <si>
    <t>36-45</t>
  </si>
  <si>
    <t>10k-14,999</t>
  </si>
  <si>
    <t>7-10 years</t>
  </si>
  <si>
    <t>Medium</t>
  </si>
  <si>
    <t>good</t>
  </si>
  <si>
    <t>satisfied</t>
  </si>
  <si>
    <t>Manufacturing director</t>
  </si>
  <si>
    <t>Gender pay Gap(% Male Vs Female)=</t>
  </si>
  <si>
    <t>46-55</t>
  </si>
  <si>
    <t>15k-19,999</t>
  </si>
  <si>
    <t>11-15 years</t>
  </si>
  <si>
    <t>High</t>
  </si>
  <si>
    <t>Best</t>
  </si>
  <si>
    <t>Highly satisfied</t>
  </si>
  <si>
    <t>Healthcare Representative</t>
  </si>
  <si>
    <t>56+</t>
  </si>
  <si>
    <t>16+</t>
  </si>
  <si>
    <t>Manager</t>
  </si>
  <si>
    <t>Sales Representative</t>
  </si>
  <si>
    <t>Research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</si>
</sst>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 applyAlignment="1"/>
    <xf numFmtId="2" fontId="0" fillId="0" borderId="1" xfId="0" applyNumberFormat="1" applyBorder="1"/>
    <xf numFmtId="9" fontId="0" fillId="0" borderId="1" xfId="1" applyFont="1" applyBorder="1" applyAlignment="1"/>
    <xf numFmtId="0" fontId="0" fillId="0" borderId="1" xfId="0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ioMK/AppData/Local/Packages/5319275A.WhatsAppDesktop_cv1g1gvanyjgm/LocalState/sessions/585EAB47BFC374AFCB8D1105C9D6E55F95B08493/transfers/2026-18/HR_ATTRITION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JobLevelIncomeAvg-Attrition"/>
      <sheetName val="Pivots &amp; Slicers"/>
      <sheetName val="WA_Fn-UseC_-HR-Employee-Attriti"/>
      <sheetName val="Calculation shee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9A86-7FEE-447A-9D32-1852DA79DBA8}">
  <dimension ref="A1:BJ11"/>
  <sheetViews>
    <sheetView tabSelected="1" topLeftCell="AV1" zoomScale="94" workbookViewId="0">
      <selection activeCell="BI1" sqref="BI1:BJ4"/>
    </sheetView>
  </sheetViews>
  <sheetFormatPr defaultRowHeight="15"/>
  <cols>
    <col min="1" max="1" width="21.140625" customWidth="1"/>
    <col min="2" max="2" width="15.42578125" customWidth="1"/>
    <col min="3" max="3" width="14.5703125" customWidth="1"/>
    <col min="7" max="7" width="10.42578125" customWidth="1"/>
    <col min="8" max="8" width="15.5703125" customWidth="1"/>
    <col min="9" max="9" width="15.140625" customWidth="1"/>
    <col min="11" max="11" width="22.42578125" bestFit="1" customWidth="1"/>
    <col min="12" max="12" width="15.42578125" customWidth="1"/>
    <col min="16" max="16" width="18" customWidth="1"/>
    <col min="18" max="18" width="11.140625" customWidth="1"/>
    <col min="19" max="19" width="12.140625" customWidth="1"/>
    <col min="21" max="21" width="10.140625" customWidth="1"/>
    <col min="22" max="22" width="12.28515625" customWidth="1"/>
    <col min="25" max="25" width="17.42578125" customWidth="1"/>
    <col min="26" max="26" width="25" customWidth="1"/>
    <col min="27" max="27" width="17" customWidth="1"/>
    <col min="28" max="28" width="14.140625" customWidth="1"/>
    <col min="29" max="29" width="20.28515625" customWidth="1"/>
    <col min="31" max="31" width="10.7109375" customWidth="1"/>
    <col min="32" max="32" width="14.7109375" customWidth="1"/>
    <col min="33" max="33" width="9" customWidth="1"/>
    <col min="34" max="34" width="11.5703125" customWidth="1"/>
    <col min="36" max="36" width="14.7109375" customWidth="1"/>
    <col min="37" max="37" width="15.42578125" customWidth="1"/>
    <col min="38" max="38" width="12.7109375" customWidth="1"/>
    <col min="39" max="39" width="13.5703125" customWidth="1"/>
    <col min="41" max="41" width="11.5703125" customWidth="1"/>
    <col min="42" max="42" width="15.42578125" customWidth="1"/>
    <col min="44" max="44" width="13.5703125" customWidth="1"/>
    <col min="46" max="46" width="15.28515625" customWidth="1"/>
    <col min="47" max="47" width="14.28515625" bestFit="1" customWidth="1"/>
    <col min="49" max="49" width="12" bestFit="1" customWidth="1"/>
    <col min="51" max="51" width="14.140625" bestFit="1" customWidth="1"/>
    <col min="52" max="52" width="13.85546875" bestFit="1" customWidth="1"/>
    <col min="54" max="54" width="11.5703125" bestFit="1" customWidth="1"/>
    <col min="56" max="56" width="13.42578125" customWidth="1"/>
    <col min="57" max="57" width="13.85546875" bestFit="1" customWidth="1"/>
    <col min="59" max="59" width="12.42578125" bestFit="1" customWidth="1"/>
    <col min="61" max="61" width="11.140625" bestFit="1" customWidth="1"/>
    <col min="62" max="62" width="17.85546875" customWidth="1"/>
  </cols>
  <sheetData>
    <row r="1" spans="1:62">
      <c r="A1" s="1" t="s">
        <v>0</v>
      </c>
      <c r="B1" s="1"/>
      <c r="C1" s="1"/>
      <c r="D1" s="1"/>
      <c r="E1" s="1"/>
      <c r="F1" s="1"/>
      <c r="H1" s="1" t="s">
        <v>1</v>
      </c>
      <c r="I1" s="1"/>
      <c r="K1" s="1" t="s">
        <v>2</v>
      </c>
      <c r="L1" s="1"/>
      <c r="N1" s="1" t="s">
        <v>3</v>
      </c>
      <c r="O1" s="1"/>
      <c r="P1" s="1"/>
      <c r="R1" s="1" t="s">
        <v>4</v>
      </c>
      <c r="S1" s="1"/>
      <c r="U1" s="1" t="s">
        <v>5</v>
      </c>
      <c r="V1" s="1"/>
      <c r="X1" s="1" t="s">
        <v>6</v>
      </c>
      <c r="Y1" s="1"/>
      <c r="Z1" s="1"/>
      <c r="AA1" s="1"/>
      <c r="AB1" s="1"/>
      <c r="AC1" s="1"/>
      <c r="AE1" s="1" t="s">
        <v>7</v>
      </c>
      <c r="AF1" s="1"/>
      <c r="AG1" s="1"/>
      <c r="AH1" s="1"/>
      <c r="AJ1" s="1" t="s">
        <v>8</v>
      </c>
      <c r="AK1" s="1"/>
      <c r="AL1" s="1"/>
      <c r="AM1" s="1"/>
      <c r="AO1" s="1" t="s">
        <v>9</v>
      </c>
      <c r="AP1" s="1"/>
      <c r="AQ1" s="1"/>
      <c r="AR1" s="1"/>
      <c r="AT1" s="1" t="s">
        <v>10</v>
      </c>
      <c r="AU1" s="1"/>
      <c r="AV1" s="1"/>
      <c r="AW1" s="1"/>
      <c r="AY1" s="1" t="s">
        <v>11</v>
      </c>
      <c r="AZ1" s="1"/>
      <c r="BA1" s="1"/>
      <c r="BB1" s="1"/>
      <c r="BD1" s="1" t="s">
        <v>12</v>
      </c>
      <c r="BE1" s="1"/>
      <c r="BF1" s="1"/>
      <c r="BG1" s="1"/>
      <c r="BI1" s="1" t="s">
        <v>13</v>
      </c>
      <c r="BJ1" s="1"/>
    </row>
    <row r="2" spans="1:62">
      <c r="A2" s="2"/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H2" s="2" t="s">
        <v>19</v>
      </c>
      <c r="I2" s="2" t="s">
        <v>14</v>
      </c>
      <c r="K2" s="2" t="s">
        <v>20</v>
      </c>
      <c r="L2" s="2" t="s">
        <v>14</v>
      </c>
      <c r="N2" s="2" t="s">
        <v>21</v>
      </c>
      <c r="O2" s="2" t="s">
        <v>22</v>
      </c>
      <c r="P2" s="2" t="s">
        <v>23</v>
      </c>
      <c r="R2" s="2" t="s">
        <v>24</v>
      </c>
      <c r="S2" s="2" t="s">
        <v>14</v>
      </c>
      <c r="U2" s="2" t="s">
        <v>25</v>
      </c>
      <c r="V2" s="2" t="s">
        <v>26</v>
      </c>
      <c r="X2" s="2" t="s">
        <v>21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E2" s="2" t="s">
        <v>32</v>
      </c>
      <c r="AF2" s="2" t="s">
        <v>15</v>
      </c>
      <c r="AG2" s="2" t="s">
        <v>33</v>
      </c>
      <c r="AH2" s="2" t="s">
        <v>34</v>
      </c>
      <c r="AJ2" s="2" t="s">
        <v>35</v>
      </c>
      <c r="AK2" s="2" t="s">
        <v>36</v>
      </c>
      <c r="AL2" s="2" t="s">
        <v>37</v>
      </c>
      <c r="AM2" s="2" t="s">
        <v>14</v>
      </c>
      <c r="AO2" s="2" t="s">
        <v>38</v>
      </c>
      <c r="AP2" s="2" t="s">
        <v>36</v>
      </c>
      <c r="AQ2" s="2" t="s">
        <v>37</v>
      </c>
      <c r="AR2" s="2" t="s">
        <v>39</v>
      </c>
      <c r="AT2" s="2" t="s">
        <v>40</v>
      </c>
      <c r="AU2" s="2" t="s">
        <v>15</v>
      </c>
      <c r="AV2" s="2" t="s">
        <v>41</v>
      </c>
      <c r="AW2" s="2" t="s">
        <v>14</v>
      </c>
      <c r="AY2" s="2" t="s">
        <v>42</v>
      </c>
      <c r="AZ2" s="2" t="s">
        <v>43</v>
      </c>
      <c r="BA2" s="2" t="s">
        <v>16</v>
      </c>
      <c r="BB2" s="2" t="s">
        <v>39</v>
      </c>
      <c r="BD2" s="2" t="s">
        <v>44</v>
      </c>
      <c r="BE2" s="2" t="s">
        <v>36</v>
      </c>
      <c r="BF2" s="2" t="s">
        <v>16</v>
      </c>
      <c r="BG2" s="2" t="s">
        <v>45</v>
      </c>
      <c r="BI2" s="2" t="s">
        <v>46</v>
      </c>
      <c r="BJ2" s="2">
        <f>COUNTIFS([1]!HR_CLEAN_TBL[Retentionriskband], BI2)</f>
        <v>0</v>
      </c>
    </row>
    <row r="3" spans="1:62">
      <c r="A3" s="2" t="s">
        <v>47</v>
      </c>
      <c r="B3" s="3">
        <f>AVERAGEIFS([1]!HR_CLEAN_TBL[Attrition_flag],[1]!HR_CLEAN_TBL[Department],A3)</f>
        <v>0.19047619047619047</v>
      </c>
      <c r="C3" s="2">
        <f>COUNTIFS([1]!HR_CLEAN_TBL[Department],A3)</f>
        <v>63</v>
      </c>
      <c r="D3" s="2">
        <f>COUNTIFS([1]!HR_CLEAN_TBL[Department],A3,[1]!HR_CLEAN_TBL[Attrition],"Yes")</f>
        <v>12</v>
      </c>
      <c r="E3" s="2">
        <f>COUNTIFS([1]!HR_CLEAN_TBL[Department],A3,[1]!HR_CLEAN_TBL[Attrition],"No")</f>
        <v>51</v>
      </c>
      <c r="F3" s="2">
        <f>_xlfn.RANK.EQ(B3,$B$3:$B$5,0)</f>
        <v>2</v>
      </c>
      <c r="H3" s="2" t="s">
        <v>48</v>
      </c>
      <c r="I3" s="2" t="e">
        <f ca="1">_xlfn.XLOOKUP(H3,$A$3:$A$5,$B$3:$B$5,"Not Found")</f>
        <v>#NAME?</v>
      </c>
      <c r="K3" s="2" t="s">
        <v>49</v>
      </c>
      <c r="L3" s="3">
        <f>AVERAGEIFS([1]!HR_CLEAN_TBL[Attrition_flag],[1]!HR_CLEAN_TBL[JobRole],K3)</f>
        <v>0.17484662576687116</v>
      </c>
      <c r="N3" s="2" t="s">
        <v>50</v>
      </c>
      <c r="O3" s="4">
        <f>AVERAGEIFS([1]!HR_CLEAN_TBL[Age],[1]!HR_CLEAN_TBL[Attrition],N3)</f>
        <v>33.607594936708864</v>
      </c>
      <c r="P3" s="4">
        <f>AVERAGEIFS([1]!HR_CLEAN_TBL[MonthlyIncome],[1]!HR_CLEAN_TBL[Attrition],N3)</f>
        <v>4787.0928270042195</v>
      </c>
      <c r="R3" s="2" t="s">
        <v>50</v>
      </c>
      <c r="S3" s="5">
        <f>AVERAGEIFS([1]!HR_CLEAN_TBL[Attrition_flag],[1]!HR_CLEAN_TBL[OverTime],R3)</f>
        <v>0.30528846153846156</v>
      </c>
      <c r="U3" s="2" t="s">
        <v>51</v>
      </c>
      <c r="V3" s="2">
        <f>AVERAGEIFS([1]!HR_CLEAN_TBL[MonthlyIncome],[1]!HR_CLEAN_TBL[Gender],U3)</f>
        <v>6380.5079365079364</v>
      </c>
      <c r="X3" s="2" t="s">
        <v>50</v>
      </c>
      <c r="Y3" s="4">
        <f>AVERAGEIFS([1]!HR_CLEAN_TBL[JobSatisfaction],[1]!HR_CLEAN_TBL[Attrition], "Yes")</f>
        <v>2.4683544303797467</v>
      </c>
      <c r="Z3" s="4">
        <f>AVERAGEIFS([1]!HR_CLEAN_TBL[EnvironmentSatisfaction],[1]!HR_CLEAN_TBL[Attrition], "Yes")</f>
        <v>2.4641350210970465</v>
      </c>
      <c r="AA3" s="4">
        <f>AVERAGEIFS([1]!HR_CLEAN_TBL[JobInvolvement],[1]!HR_CLEAN_TBL[Attrition], "Yes")</f>
        <v>2.518987341772152</v>
      </c>
      <c r="AB3" s="4">
        <f>AVERAGEIFS([1]!HR_CLEAN_TBL[WorkLifeBalance],[1]!HR_CLEAN_TBL[Attrition], "Yes")</f>
        <v>2.6582278481012658</v>
      </c>
      <c r="AC3" s="4">
        <f>AVERAGEIFS([1]!HR_CLEAN_TBL[CompensationRatio],[1]!HR_CLEAN_TBL[Attrition], "Yes")</f>
        <v>0.96430379746835426</v>
      </c>
      <c r="AE3" s="2" t="s">
        <v>52</v>
      </c>
      <c r="AF3" s="2">
        <f>COUNTIFS([1]!HR_CLEAN_TBL[Ageband],AE3)</f>
        <v>123</v>
      </c>
      <c r="AG3" s="2">
        <f>COUNTIFS([1]!HR_CLEAN_TBL[Ageband],AE3,[1]!HR_CLEAN_TBL[Attrition], "Yes")</f>
        <v>44</v>
      </c>
      <c r="AH3" s="3">
        <f>AG3/AF3</f>
        <v>0.35772357723577236</v>
      </c>
      <c r="AJ3" s="2" t="s">
        <v>53</v>
      </c>
      <c r="AK3" s="2">
        <f>COUNTIFS([1]!HR_CLEAN_TBL[Incomeband],AJ3)</f>
        <v>749</v>
      </c>
      <c r="AL3" s="2">
        <f>COUNTIFS([1]!HR_CLEAN_TBL[Incomeband],AJ3,[1]!HR_CLEAN_TBL[Attrition], "Yes")</f>
        <v>163</v>
      </c>
      <c r="AM3" s="3">
        <f>AL3/AK3</f>
        <v>0.21762349799732977</v>
      </c>
      <c r="AO3" s="2" t="s">
        <v>54</v>
      </c>
      <c r="AP3" s="2">
        <f>COUNTIFS([1]!HR_CLEAN_TBL[tenure_band],AO3)</f>
        <v>470</v>
      </c>
      <c r="AQ3" s="2">
        <f>COUNTIFS([1]!HR_CLEAN_TBL[tenure_band],AO3,[1]!HR_CLEAN_TBL[Attrition], "Yes")</f>
        <v>122</v>
      </c>
      <c r="AR3" s="3">
        <f>AQ3/AP3</f>
        <v>0.25957446808510637</v>
      </c>
      <c r="AT3" s="2" t="s">
        <v>55</v>
      </c>
      <c r="AU3" s="2">
        <f>COUNTIF([1]!HR_CLEAN_TBL[stockoptionlevel_lebel],AT3)</f>
        <v>631</v>
      </c>
      <c r="AV3" s="2">
        <f>COUNTIFS([1]!HR_CLEAN_TBL[stockoptionlevel_lebel],AT3,[1]!HR_CLEAN_TBL[Attrition],"Yes")</f>
        <v>154</v>
      </c>
      <c r="AW3" s="3">
        <f>AV3/AU3</f>
        <v>0.24405705229793978</v>
      </c>
      <c r="AY3" s="2" t="s">
        <v>56</v>
      </c>
      <c r="AZ3" s="2">
        <f>COUNTIFS([1]!HR_CLEAN_TBL[Worklifebalance_label],AY3)</f>
        <v>80</v>
      </c>
      <c r="BA3" s="2">
        <f>COUNTIFS([1]!HR_CLEAN_TBL[Worklifebalance_label],AY3,[1]!HR_CLEAN_TBL[Attrition],"Yes")</f>
        <v>25</v>
      </c>
      <c r="BB3" s="3">
        <f>BA3/AZ3</f>
        <v>0.3125</v>
      </c>
      <c r="BD3" s="2" t="s">
        <v>57</v>
      </c>
      <c r="BE3" s="2">
        <f>COUNTIF([1]!HR_CLEAN_TBL[Job satisfaction_label], BD3)</f>
        <v>289</v>
      </c>
      <c r="BF3" s="2">
        <f>COUNTIFS([1]!HR_CLEAN_TBL[Job satisfaction_label],BD3,[1]!HR_CLEAN_TBL[Attrition], "Yes")</f>
        <v>66</v>
      </c>
      <c r="BG3" s="3">
        <f>BF3/BE3</f>
        <v>0.22837370242214533</v>
      </c>
      <c r="BI3" s="2" t="s">
        <v>58</v>
      </c>
      <c r="BJ3" s="2">
        <f>COUNTIFS([1]!HR_CLEAN_TBL[Retentionriskband], BI3)</f>
        <v>211</v>
      </c>
    </row>
    <row r="4" spans="1:62">
      <c r="A4" s="2" t="s">
        <v>59</v>
      </c>
      <c r="B4" s="3">
        <f>AVERAGEIFS([1]!HR_CLEAN_TBL[Attrition_flag],[1]!HR_CLEAN_TBL[Department],A4)</f>
        <v>0.13839750260145681</v>
      </c>
      <c r="C4" s="2">
        <f>COUNTIFS([1]!HR_CLEAN_TBL[Department],A4)</f>
        <v>961</v>
      </c>
      <c r="D4" s="2">
        <f>COUNTIFS([1]!HR_CLEAN_TBL[Department],A4,[1]!HR_CLEAN_TBL[Attrition],"Yes")</f>
        <v>133</v>
      </c>
      <c r="E4" s="2">
        <f>COUNTIFS([1]!HR_CLEAN_TBL[Department],A4,[1]!HR_CLEAN_TBL[Attrition],"No")</f>
        <v>828</v>
      </c>
      <c r="F4" s="2">
        <f t="shared" ref="F4:F5" si="0">_xlfn.RANK.EQ(B4,$B$3:$B$5,0)</f>
        <v>3</v>
      </c>
      <c r="K4" s="2" t="s">
        <v>60</v>
      </c>
      <c r="L4" s="3">
        <f>AVERAGEIFS([1]!HR_CLEAN_TBL[Attrition_flag],[1]!HR_CLEAN_TBL[JobRole],K4)</f>
        <v>0.16095890410958905</v>
      </c>
      <c r="N4" s="2" t="s">
        <v>61</v>
      </c>
      <c r="O4" s="4">
        <f>AVERAGEIFS([1]!HR_CLEAN_TBL[Age],[1]!HR_CLEAN_TBL[Attrition],N4)</f>
        <v>37.561232765612324</v>
      </c>
      <c r="P4" s="4">
        <f>AVERAGEIFS([1]!HR_CLEAN_TBL[MonthlyIncome],[1]!HR_CLEAN_TBL[Attrition],N4)</f>
        <v>6832.7396593673966</v>
      </c>
      <c r="R4" s="2" t="s">
        <v>61</v>
      </c>
      <c r="S4" s="5">
        <f>AVERAGEIFS([1]!HR_CLEAN_TBL[Attrition_flag],[1]!HR_CLEAN_TBL[OverTime],R4)</f>
        <v>0.10436432637571158</v>
      </c>
      <c r="U4" s="2" t="s">
        <v>62</v>
      </c>
      <c r="V4" s="2">
        <f>AVERAGEIFS([1]!HR_CLEAN_TBL[MonthlyIncome],[1]!HR_CLEAN_TBL[Gender],U4)</f>
        <v>6686.5663265306121</v>
      </c>
      <c r="X4" s="2" t="s">
        <v>61</v>
      </c>
      <c r="Y4" s="4">
        <f>AVERAGEIFS([1]!HR_CLEAN_TBL[JobSatisfaction],[1]!HR_CLEAN_TBL[Attrition], "No")</f>
        <v>2.778588807785888</v>
      </c>
      <c r="Z4" s="4">
        <f>AVERAGEIFS([1]!HR_CLEAN_TBL[EnvironmentSatisfaction],[1]!HR_CLEAN_TBL[Attrition], "No")</f>
        <v>2.7712895377128954</v>
      </c>
      <c r="AA4" s="4">
        <f>AVERAGEIFS([1]!HR_CLEAN_TBL[JobInvolvement],[1]!HR_CLEAN_TBL[Attrition], "No")</f>
        <v>2.7704785077047851</v>
      </c>
      <c r="AB4" s="4">
        <f>AVERAGEIFS([1]!HR_CLEAN_TBL[WorkLifeBalance],[1]!HR_CLEAN_TBL[Attrition], "No")</f>
        <v>2.781021897810219</v>
      </c>
      <c r="AC4" s="4">
        <f>AVERAGEIFS([1]!HR_CLEAN_TBL[CompensationRatio],[1]!HR_CLEAN_TBL[Attrition], "No")</f>
        <v>1.006877534468775</v>
      </c>
      <c r="AE4" s="2" t="s">
        <v>63</v>
      </c>
      <c r="AF4" s="2">
        <f>COUNTIFS([1]!HR_CLEAN_TBL[Ageband],AE4)</f>
        <v>606</v>
      </c>
      <c r="AG4" s="2">
        <f>COUNTIFS([1]!HR_CLEAN_TBL[Ageband],AE4,[1]!HR_CLEAN_TBL[Attrition], "Yes")</f>
        <v>116</v>
      </c>
      <c r="AH4" s="3">
        <f t="shared" ref="AH4:AH7" si="1">AG4/AF4</f>
        <v>0.19141914191419143</v>
      </c>
      <c r="AJ4" s="2" t="s">
        <v>64</v>
      </c>
      <c r="AK4" s="2">
        <f>COUNTIFS([1]!HR_CLEAN_TBL[Incomeband],AJ4)</f>
        <v>440</v>
      </c>
      <c r="AL4" s="2">
        <f>COUNTIFS([1]!HR_CLEAN_TBL[Incomeband],AJ4,[1]!HR_CLEAN_TBL[Attrition], "Yes")</f>
        <v>49</v>
      </c>
      <c r="AM4" s="3">
        <f t="shared" ref="AM4:AM6" si="2">AL4/AK4</f>
        <v>0.11136363636363636</v>
      </c>
      <c r="AO4" s="2" t="s">
        <v>65</v>
      </c>
      <c r="AP4" s="2">
        <f>COUNTIFS([1]!HR_CLEAN_TBL[tenure_band],AO4)</f>
        <v>382</v>
      </c>
      <c r="AQ4" s="2">
        <f>COUNTIFS([1]!HR_CLEAN_TBL[tenure_band],AO4,[1]!HR_CLEAN_TBL[Attrition], "Yes")</f>
        <v>49</v>
      </c>
      <c r="AR4" s="3">
        <f t="shared" ref="AR4:AR7" si="3">AQ4/AP4</f>
        <v>0.12827225130890052</v>
      </c>
      <c r="AT4" s="2" t="s">
        <v>66</v>
      </c>
      <c r="AU4" s="2">
        <f>COUNTIF([1]!HR_CLEAN_TBL[stockoptionlevel_lebel],AT4)</f>
        <v>596</v>
      </c>
      <c r="AV4" s="2">
        <f>COUNTIFS([1]!HR_CLEAN_TBL[stockoptionlevel_lebel],AT4,[1]!HR_CLEAN_TBL[Attrition],"Yes")</f>
        <v>56</v>
      </c>
      <c r="AW4" s="3">
        <f t="shared" ref="AW4:AW6" si="4">AV4/AU4</f>
        <v>9.3959731543624164E-2</v>
      </c>
      <c r="AY4" s="2" t="s">
        <v>67</v>
      </c>
      <c r="AZ4" s="2">
        <f>COUNTIFS([1]!HR_CLEAN_TBL[Worklifebalance_label],AY4)</f>
        <v>344</v>
      </c>
      <c r="BA4" s="2">
        <f>COUNTIFS([1]!HR_CLEAN_TBL[Worklifebalance_label],AY4,[1]!HR_CLEAN_TBL[Attrition],"Yes")</f>
        <v>58</v>
      </c>
      <c r="BB4" s="3">
        <f t="shared" ref="BB4:BB6" si="5">BA4/AZ4</f>
        <v>0.16860465116279069</v>
      </c>
      <c r="BD4" s="2" t="s">
        <v>68</v>
      </c>
      <c r="BE4" s="2">
        <f>COUNTIF([1]!HR_CLEAN_TBL[Job satisfaction_label], BD4)</f>
        <v>280</v>
      </c>
      <c r="BF4" s="2">
        <f>COUNTIFS([1]!HR_CLEAN_TBL[Job satisfaction_label],BD4,[1]!HR_CLEAN_TBL[Attrition], "Yes")</f>
        <v>46</v>
      </c>
      <c r="BG4" s="3">
        <f t="shared" ref="BG4:BG6" si="6">BF4/BE4</f>
        <v>0.16428571428571428</v>
      </c>
      <c r="BI4" s="2" t="s">
        <v>69</v>
      </c>
      <c r="BJ4" s="2">
        <f>COUNTIFS([1]!HR_CLEAN_TBL[Retentionriskband], BI4)</f>
        <v>1259</v>
      </c>
    </row>
    <row r="5" spans="1:62">
      <c r="A5" s="2" t="s">
        <v>48</v>
      </c>
      <c r="B5" s="3">
        <f>AVERAGEIFS([1]!HR_CLEAN_TBL[Attrition_flag],[1]!HR_CLEAN_TBL[Department],A5)</f>
        <v>0.20627802690582961</v>
      </c>
      <c r="C5" s="2">
        <f>COUNTIFS([1]!HR_CLEAN_TBL[Department],A5)</f>
        <v>446</v>
      </c>
      <c r="D5" s="2">
        <f>COUNTIFS([1]!HR_CLEAN_TBL[Department],A5,[1]!HR_CLEAN_TBL[Attrition],"Yes")</f>
        <v>92</v>
      </c>
      <c r="E5" s="2">
        <f>COUNTIFS([1]!HR_CLEAN_TBL[Department],A5,[1]!HR_CLEAN_TBL[Attrition],"No")</f>
        <v>354</v>
      </c>
      <c r="F5" s="2">
        <f t="shared" si="0"/>
        <v>1</v>
      </c>
      <c r="K5" s="2" t="s">
        <v>70</v>
      </c>
      <c r="L5" s="3">
        <f>AVERAGEIFS([1]!HR_CLEAN_TBL[Attrition_flag],[1]!HR_CLEAN_TBL[JobRole],K5)</f>
        <v>0.23938223938223938</v>
      </c>
      <c r="U5" s="2"/>
      <c r="V5" s="2"/>
      <c r="AE5" s="2" t="s">
        <v>71</v>
      </c>
      <c r="AF5" s="2">
        <f>COUNTIFS([1]!HR_CLEAN_TBL[Ageband],AE5)</f>
        <v>468</v>
      </c>
      <c r="AG5" s="2">
        <f>COUNTIFS([1]!HR_CLEAN_TBL[Ageband],AE5,[1]!HR_CLEAN_TBL[Attrition], "Yes")</f>
        <v>43</v>
      </c>
      <c r="AH5" s="3">
        <f t="shared" si="1"/>
        <v>9.1880341880341887E-2</v>
      </c>
      <c r="AJ5" s="2" t="s">
        <v>72</v>
      </c>
      <c r="AK5" s="2">
        <f>COUNTIFS([1]!HR_CLEAN_TBL[Incomeband],AJ5)</f>
        <v>148</v>
      </c>
      <c r="AL5" s="2">
        <f>COUNTIFS([1]!HR_CLEAN_TBL[Incomeband],AJ5,[1]!HR_CLEAN_TBL[Attrition], "Yes")</f>
        <v>20</v>
      </c>
      <c r="AM5" s="3">
        <f t="shared" si="2"/>
        <v>0.13513513513513514</v>
      </c>
      <c r="AO5" s="2" t="s">
        <v>73</v>
      </c>
      <c r="AP5" s="2">
        <f>COUNTIFS([1]!HR_CLEAN_TBL[tenure_band],AO5)</f>
        <v>372</v>
      </c>
      <c r="AQ5" s="2">
        <f>COUNTIFS([1]!HR_CLEAN_TBL[tenure_band],AO5,[1]!HR_CLEAN_TBL[Attrition], "Yes")</f>
        <v>46</v>
      </c>
      <c r="AR5" s="3">
        <f t="shared" si="3"/>
        <v>0.12365591397849462</v>
      </c>
      <c r="AT5" s="2" t="s">
        <v>74</v>
      </c>
      <c r="AU5" s="2">
        <f>COUNTIF([1]!HR_CLEAN_TBL[stockoptionlevel_lebel],AT5)</f>
        <v>158</v>
      </c>
      <c r="AV5" s="2">
        <f>COUNTIFS([1]!HR_CLEAN_TBL[stockoptionlevel_lebel],AT5,[1]!HR_CLEAN_TBL[Attrition],"Yes")</f>
        <v>12</v>
      </c>
      <c r="AW5" s="3">
        <f t="shared" si="4"/>
        <v>7.5949367088607597E-2</v>
      </c>
      <c r="AY5" s="2" t="s">
        <v>75</v>
      </c>
      <c r="AZ5" s="2">
        <f>COUNTIFS([1]!HR_CLEAN_TBL[Worklifebalance_label],AY5)</f>
        <v>893</v>
      </c>
      <c r="BA5" s="2">
        <f>COUNTIFS([1]!HR_CLEAN_TBL[Worklifebalance_label],AY5,[1]!HR_CLEAN_TBL[Attrition],"Yes")</f>
        <v>127</v>
      </c>
      <c r="BB5" s="3">
        <f t="shared" si="5"/>
        <v>0.14221724524076149</v>
      </c>
      <c r="BD5" s="2" t="s">
        <v>76</v>
      </c>
      <c r="BE5" s="2">
        <f>COUNTIF([1]!HR_CLEAN_TBL[Job satisfaction_label], BD5)</f>
        <v>442</v>
      </c>
      <c r="BF5" s="2">
        <f>COUNTIFS([1]!HR_CLEAN_TBL[Job satisfaction_label],BD5,[1]!HR_CLEAN_TBL[Attrition], "Yes")</f>
        <v>73</v>
      </c>
      <c r="BG5" s="3">
        <f t="shared" si="6"/>
        <v>0.16515837104072398</v>
      </c>
    </row>
    <row r="6" spans="1:62" ht="75">
      <c r="K6" s="2" t="s">
        <v>77</v>
      </c>
      <c r="L6" s="3">
        <f>AVERAGEIFS([1]!HR_CLEAN_TBL[Attrition_flag],[1]!HR_CLEAN_TBL[JobRole],K6)</f>
        <v>6.8965517241379309E-2</v>
      </c>
      <c r="U6" s="6" t="s">
        <v>78</v>
      </c>
      <c r="V6" s="3">
        <f>(V3-V4)/V3</f>
        <v>-4.7967715590709219E-2</v>
      </c>
      <c r="AE6" s="2" t="s">
        <v>79</v>
      </c>
      <c r="AF6" s="2">
        <f>COUNTIFS([1]!HR_CLEAN_TBL[Ageband],AE6)</f>
        <v>22</v>
      </c>
      <c r="AG6" s="2">
        <f>COUNTIFS([1]!HR_CLEAN_TBL[Ageband],AE6,[1]!HR_CLEAN_TBL[Attrition], "Yes")</f>
        <v>3</v>
      </c>
      <c r="AH6" s="3">
        <f>AG6/AF6</f>
        <v>0.13636363636363635</v>
      </c>
      <c r="AJ6" s="2" t="s">
        <v>80</v>
      </c>
      <c r="AK6" s="2">
        <f>COUNTIFS([1]!HR_CLEAN_TBL[Incomeband],AJ6)</f>
        <v>133</v>
      </c>
      <c r="AL6" s="2">
        <f>COUNTIFS([1]!HR_CLEAN_TBL[Incomeband],AJ6,[1]!HR_CLEAN_TBL[Attrition], "Yes")</f>
        <v>5</v>
      </c>
      <c r="AM6" s="3">
        <f t="shared" si="2"/>
        <v>3.7593984962406013E-2</v>
      </c>
      <c r="AO6" s="2" t="s">
        <v>81</v>
      </c>
      <c r="AP6" s="2">
        <f>COUNTIFS([1]!HR_CLEAN_TBL[tenure_band],AO6)</f>
        <v>20</v>
      </c>
      <c r="AQ6" s="2">
        <f>COUNTIFS([1]!HR_CLEAN_TBL[tenure_band],AO6,[1]!HR_CLEAN_TBL[Attrition], "Yes")</f>
        <v>1</v>
      </c>
      <c r="AR6" s="3">
        <f t="shared" si="3"/>
        <v>0.05</v>
      </c>
      <c r="AT6" s="2" t="s">
        <v>82</v>
      </c>
      <c r="AU6" s="2">
        <f>COUNTIF([1]!HR_CLEAN_TBL[stockoptionlevel_lebel],AT6)</f>
        <v>85</v>
      </c>
      <c r="AV6" s="2">
        <f>COUNTIFS([1]!HR_CLEAN_TBL[stockoptionlevel_lebel],AT6,[1]!HR_CLEAN_TBL[Attrition],"Yes")</f>
        <v>15</v>
      </c>
      <c r="AW6" s="3">
        <f t="shared" si="4"/>
        <v>0.17647058823529413</v>
      </c>
      <c r="AY6" s="2" t="s">
        <v>83</v>
      </c>
      <c r="AZ6" s="2">
        <f>COUNTIFS([1]!HR_CLEAN_TBL[Worklifebalance_label],AY6)</f>
        <v>153</v>
      </c>
      <c r="BA6" s="2">
        <f>COUNTIFS([1]!HR_CLEAN_TBL[Worklifebalance_label],AY6,[1]!HR_CLEAN_TBL[Attrition],"Yes")</f>
        <v>27</v>
      </c>
      <c r="BB6" s="3">
        <f t="shared" si="5"/>
        <v>0.17647058823529413</v>
      </c>
      <c r="BD6" s="2" t="s">
        <v>84</v>
      </c>
      <c r="BE6" s="2">
        <f>COUNTIF([1]!HR_CLEAN_TBL[Job satisfaction_label], BD6)</f>
        <v>459</v>
      </c>
      <c r="BF6" s="2">
        <f>COUNTIFS([1]!HR_CLEAN_TBL[Job satisfaction_label],BD6,[1]!HR_CLEAN_TBL[Attrition], "Yes")</f>
        <v>52</v>
      </c>
      <c r="BG6" s="3">
        <f t="shared" si="6"/>
        <v>0.11328976034858387</v>
      </c>
    </row>
    <row r="7" spans="1:62">
      <c r="B7">
        <f>D3/C3</f>
        <v>0.19047619047619047</v>
      </c>
      <c r="K7" s="2" t="s">
        <v>85</v>
      </c>
      <c r="L7" s="3">
        <f>AVERAGEIFS([1]!HR_CLEAN_TBL[Attrition_flag],[1]!HR_CLEAN_TBL[JobRole],K7)</f>
        <v>6.8702290076335881E-2</v>
      </c>
      <c r="AE7" s="2" t="s">
        <v>86</v>
      </c>
      <c r="AF7" s="2">
        <f>COUNTIFS([1]!HR_CLEAN_TBL[Ageband],AE7)</f>
        <v>251</v>
      </c>
      <c r="AG7" s="2">
        <f>COUNTIFS([1]!HR_CLEAN_TBL[Ageband],AE7,[1]!HR_CLEAN_TBL[Attrition], "Yes")</f>
        <v>31</v>
      </c>
      <c r="AH7" s="3">
        <f t="shared" si="1"/>
        <v>0.12350597609561753</v>
      </c>
      <c r="AO7" s="2" t="s">
        <v>87</v>
      </c>
      <c r="AP7" s="2">
        <f>COUNTIFS([1]!HR_CLEAN_TBL[tenure_band],AO7)</f>
        <v>226</v>
      </c>
      <c r="AQ7" s="2">
        <f>COUNTIFS([1]!HR_CLEAN_TBL[tenure_band],AO7,[1]!HR_CLEAN_TBL[Attrition], "Yes")</f>
        <v>19</v>
      </c>
      <c r="AR7" s="3">
        <f t="shared" si="3"/>
        <v>8.4070796460176997E-2</v>
      </c>
      <c r="AT7" s="2"/>
      <c r="AU7" s="2"/>
      <c r="AV7" s="2"/>
      <c r="AW7" s="2"/>
    </row>
    <row r="8" spans="1:62">
      <c r="K8" s="2" t="s">
        <v>88</v>
      </c>
      <c r="L8" s="3">
        <f>AVERAGEIFS([1]!HR_CLEAN_TBL[Attrition_flag],[1]!HR_CLEAN_TBL[JobRole],K8)</f>
        <v>4.9019607843137254E-2</v>
      </c>
    </row>
    <row r="9" spans="1:62">
      <c r="K9" s="2" t="s">
        <v>89</v>
      </c>
      <c r="L9" s="3">
        <f>AVERAGEIFS([1]!HR_CLEAN_TBL[Attrition_flag],[1]!HR_CLEAN_TBL[JobRole],K9)</f>
        <v>0.39759036144578314</v>
      </c>
    </row>
    <row r="10" spans="1:62">
      <c r="K10" s="2" t="s">
        <v>90</v>
      </c>
      <c r="L10" s="3">
        <f>AVERAGEIFS([1]!HR_CLEAN_TBL[Attrition_flag],[1]!HR_CLEAN_TBL[JobRole],K10)</f>
        <v>2.5000000000000001E-2</v>
      </c>
    </row>
    <row r="11" spans="1:62">
      <c r="K11" s="2" t="s">
        <v>47</v>
      </c>
      <c r="L11" s="3">
        <f>AVERAGEIFS([1]!HR_CLEAN_TBL[Attrition_flag],[1]!HR_CLEAN_TBL[JobRole],K11)</f>
        <v>0.23076923076923078</v>
      </c>
    </row>
  </sheetData>
  <mergeCells count="14">
    <mergeCell ref="BD1:BG1"/>
    <mergeCell ref="BI1:BJ1"/>
    <mergeCell ref="X1:AC1"/>
    <mergeCell ref="AE1:AH1"/>
    <mergeCell ref="AJ1:AM1"/>
    <mergeCell ref="AO1:AR1"/>
    <mergeCell ref="AT1:AW1"/>
    <mergeCell ref="AY1:BB1"/>
    <mergeCell ref="A1:F1"/>
    <mergeCell ref="H1:I1"/>
    <mergeCell ref="K1:L1"/>
    <mergeCell ref="N1:P1"/>
    <mergeCell ref="R1:S1"/>
    <mergeCell ref="U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RioMK</dc:creator>
  <cp:lastModifiedBy>RioMK</cp:lastModifiedBy>
  <dcterms:created xsi:type="dcterms:W3CDTF">2026-05-03T23:42:04Z</dcterms:created>
  <dcterms:modified xsi:type="dcterms:W3CDTF">2026-05-03T23:44:07Z</dcterms:modified>
</cp:coreProperties>
</file>